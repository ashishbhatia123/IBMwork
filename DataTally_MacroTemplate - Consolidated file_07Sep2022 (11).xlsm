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VTMUE744\Desktop\New folder\monica 2-25-2022\monica 2-25-2022\Monica\"/>
    </mc:Choice>
  </mc:AlternateContent>
  <xr:revisionPtr revIDLastSave="0" documentId="13_ncr:1_{B4C40CBA-8CF9-4865-BCF9-08F7409794D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Mastersheet" sheetId="1" r:id="rId1"/>
    <sheet name="Sheet1" sheetId="10" r:id="rId2"/>
    <sheet name="Macro Sheet" sheetId="7" r:id="rId3"/>
    <sheet name="Holidays" sheetId="8" r:id="rId4"/>
    <sheet name="Scorecard Template" sheetId="9" r:id="rId5"/>
  </sheets>
  <functionGroups builtInGroupCount="19"/>
  <definedNames>
    <definedName name="holidaylist">Holidays!$A$2:$B$14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88" i="1" l="1"/>
  <c r="P4" i="8" l="1"/>
  <c r="O4" i="8"/>
  <c r="N4" i="8"/>
  <c r="M4" i="8"/>
  <c r="L4" i="8"/>
  <c r="K4" i="8"/>
  <c r="P3" i="8"/>
  <c r="O3" i="8"/>
  <c r="N3" i="8"/>
  <c r="M3" i="8"/>
  <c r="L3" i="8"/>
  <c r="K3" i="8"/>
  <c r="P2" i="8"/>
  <c r="O2" i="8"/>
  <c r="N2" i="8"/>
  <c r="M2" i="8"/>
  <c r="L2" i="8"/>
  <c r="K2" i="8"/>
  <c r="G262" i="1"/>
</calcChain>
</file>

<file path=xl/sharedStrings.xml><?xml version="1.0" encoding="utf-8"?>
<sst xmlns="http://schemas.openxmlformats.org/spreadsheetml/2006/main" count="245" uniqueCount="131">
  <si>
    <t>Inputs(Specific to User's Machine)</t>
  </si>
  <si>
    <t>GBS Associates Program Deployment Tracker path</t>
  </si>
  <si>
    <t>GBS Associates Program Deployment Tracker 05092020.xlsx</t>
  </si>
  <si>
    <t>Data Tally WorkSheet</t>
  </si>
  <si>
    <t>Tier1 report Path</t>
  </si>
  <si>
    <t>Tier2 report Path</t>
  </si>
  <si>
    <t>Tier3 report Path</t>
  </si>
  <si>
    <t>Tier4 report Path</t>
  </si>
  <si>
    <t xml:space="preserve">Consolidated file </t>
  </si>
  <si>
    <t>Value</t>
  </si>
  <si>
    <t>Explanation</t>
  </si>
  <si>
    <t>1 (default)</t>
  </si>
  <si>
    <t>The weekend is Saturday and Sunday</t>
  </si>
  <si>
    <t>The weekend is Sunday and Monday</t>
  </si>
  <si>
    <t>The weekend is Monday and Tuesday</t>
  </si>
  <si>
    <t>The weekend is Tuesday and Wednesday</t>
  </si>
  <si>
    <t>The weekend is Wednesday and Thursday</t>
  </si>
  <si>
    <t>The weekend is Thursday and Friday</t>
  </si>
  <si>
    <t>The weekend is Friday and Saturday</t>
  </si>
  <si>
    <t>The weekend is only Sunday</t>
  </si>
  <si>
    <t>The weekend is only Monday</t>
  </si>
  <si>
    <t>The weekend is only Tuesday</t>
  </si>
  <si>
    <t>The weekend is only Wednesday</t>
  </si>
  <si>
    <t>The weekend is only Thursday</t>
  </si>
  <si>
    <t>The weekend is only Friday</t>
  </si>
  <si>
    <t>Onboarding Year</t>
  </si>
  <si>
    <t>IOT</t>
  </si>
  <si>
    <t>IMT</t>
  </si>
  <si>
    <t>Total</t>
  </si>
  <si>
    <t>Induction</t>
  </si>
  <si>
    <t>Specialty</t>
  </si>
  <si>
    <t>Essentials</t>
  </si>
  <si>
    <t>Complete</t>
  </si>
  <si>
    <t>In Progress</t>
  </si>
  <si>
    <t>Not Started</t>
  </si>
  <si>
    <t>Completion %</t>
  </si>
  <si>
    <t>Overall Completion % Across Mandatory Education by Year</t>
  </si>
  <si>
    <t>Overall Completion % Across All Education by Year</t>
  </si>
  <si>
    <t>Americas</t>
  </si>
  <si>
    <t>US</t>
  </si>
  <si>
    <t>GEO_NA_US_2020</t>
  </si>
  <si>
    <t>Canada</t>
  </si>
  <si>
    <t>EMEA</t>
  </si>
  <si>
    <t>EU</t>
  </si>
  <si>
    <t>GEO_EU_2020</t>
  </si>
  <si>
    <t>MEA</t>
  </si>
  <si>
    <t>GEO_MEA_2020</t>
  </si>
  <si>
    <t>APAC</t>
  </si>
  <si>
    <t>China</t>
  </si>
  <si>
    <t>GEO_CHINA_2020</t>
  </si>
  <si>
    <t>AP</t>
  </si>
  <si>
    <t>GEO_AP_ANZ_2020, GEO_AP_KR_2020, GEO_AP_ISA_2020, GEO_AP_ASEAN_2020</t>
  </si>
  <si>
    <t>Japan</t>
  </si>
  <si>
    <t>GEO_JAPAN_2020</t>
  </si>
  <si>
    <t>GIC</t>
  </si>
  <si>
    <t>CIC NA</t>
  </si>
  <si>
    <t>CIC_NA_2020</t>
  </si>
  <si>
    <t>CIC LA</t>
  </si>
  <si>
    <t>CIC_LA_Brazil_2020 , CIC_LA_Mexico_2020 , CIC_LA_SSA_2020</t>
  </si>
  <si>
    <t>CIC EU</t>
  </si>
  <si>
    <t>CIC_EU_2020</t>
  </si>
  <si>
    <t>CIC MEA</t>
  </si>
  <si>
    <t>CIC_MEA_2020</t>
  </si>
  <si>
    <t>CIC CEE</t>
  </si>
  <si>
    <t>CIC_CEE_2020</t>
  </si>
  <si>
    <t>CIC India</t>
  </si>
  <si>
    <t>CIC_India_2020</t>
  </si>
  <si>
    <t>CIC PH</t>
  </si>
  <si>
    <t>CIC_PH_2020</t>
  </si>
  <si>
    <t>CIC CHINA</t>
  </si>
  <si>
    <t>CIC_CHINA_2020</t>
  </si>
  <si>
    <t>GEO_NA_US_2021</t>
  </si>
  <si>
    <t>GEO_NA_CA_2021</t>
  </si>
  <si>
    <t>GEO_EU_2021</t>
  </si>
  <si>
    <t>GEO_MEA_2021</t>
  </si>
  <si>
    <t>GEO_China_2021</t>
  </si>
  <si>
    <t>GEO_AP_ANZ_2021, GEO_AP_KR_2021, GEO_AP_ISA_2021, GEO_AP_ASEAN_2021</t>
  </si>
  <si>
    <t>GEO_Japan_2021</t>
  </si>
  <si>
    <t>CIC_NA_2021</t>
  </si>
  <si>
    <t xml:space="preserve">CIC_LA_Mexico_2021,  CIC_LA_SSA_2021  </t>
  </si>
  <si>
    <t>CIC_EU_2021</t>
  </si>
  <si>
    <t>CIC_MEA_2021</t>
  </si>
  <si>
    <t>CIC_CEE_2021</t>
  </si>
  <si>
    <t>CIC_India_2021</t>
  </si>
  <si>
    <t>CIC_PH_2021</t>
  </si>
  <si>
    <t>CIC China</t>
  </si>
  <si>
    <t>CIC_China_2021</t>
  </si>
  <si>
    <t>GEO_NA_US_2022</t>
  </si>
  <si>
    <t>GEO_NA_CA_2022</t>
  </si>
  <si>
    <t>GEO_EU_2022</t>
  </si>
  <si>
    <t>GEO_MEA_2022</t>
  </si>
  <si>
    <t>GEO_China_2022</t>
  </si>
  <si>
    <t>GEO_AP_ANZ_2022, GEO_AP_KR_2022, GEO_AP_ISA_2022, GEO_AP_ASEAN_2022</t>
  </si>
  <si>
    <t>GEO_Japan_2022</t>
  </si>
  <si>
    <t>CIC_NA_2022</t>
  </si>
  <si>
    <t xml:space="preserve">CIC_LA_Mexico_2022,  CIC_LA_SSA_2022  </t>
  </si>
  <si>
    <t>CIC_EU_2022</t>
  </si>
  <si>
    <t>CIC_MEA_2022</t>
  </si>
  <si>
    <t>CIC_CEE_2022</t>
  </si>
  <si>
    <t>CIC_India_2022</t>
  </si>
  <si>
    <t>CIC_PH_2022</t>
  </si>
  <si>
    <t>CIC_China_2022</t>
  </si>
  <si>
    <t>Overall Completion % by Education - 2020</t>
  </si>
  <si>
    <t>Overall Completion % by Education - 2021</t>
  </si>
  <si>
    <t>Overall Completion % by Education - Till Date</t>
  </si>
  <si>
    <t>Scorecard Date - 27-07-2022_x000D_
* includes population (in both numerator and denominator) whose Projected Completion Date is &lt; Current Date_x000D_
Apprentices are not included for Induction, though included for Specialty, Essentials, Growth Survey and SAE</t>
  </si>
  <si>
    <t>GEO_NA_CA_2020</t>
  </si>
  <si>
    <t>z</t>
  </si>
  <si>
    <t>IBMC Tier 1 Completion metrics - Overall (485i).xlsx</t>
  </si>
  <si>
    <t>IBMC Tier 2 Completion metrics - CIC_Geo Level (485j).xlsx</t>
  </si>
  <si>
    <t>IBMC Tier 3 Completion metrics - Cohort level (485h).xlsx</t>
  </si>
  <si>
    <t>IBMC Tier 4 Completion metrics - Associate Level (485f).xlsx</t>
  </si>
  <si>
    <t>`</t>
  </si>
  <si>
    <t>GEO_NA_US_2023</t>
  </si>
  <si>
    <t>GEO_NA_CA_2023</t>
  </si>
  <si>
    <t>GEO_MEA_2023</t>
  </si>
  <si>
    <t>GEO_EU_2023</t>
  </si>
  <si>
    <t>GEO_China_2023</t>
  </si>
  <si>
    <t>GEO_AP_ANZ_2023, GEO_AP_KR_2023, GEO_AP_ISA_2023, GEO_AP_ASEAN_2023</t>
  </si>
  <si>
    <t>GEO_Japan_2023</t>
  </si>
  <si>
    <t>CIC_NA_2023</t>
  </si>
  <si>
    <t xml:space="preserve">CIC_LA_Mexico_2023,  CIC_LA_SSA_2023  </t>
  </si>
  <si>
    <t>CIC_EU_2023</t>
  </si>
  <si>
    <t>CIC_MEA_2023</t>
  </si>
  <si>
    <t>CIC_CEE_2023</t>
  </si>
  <si>
    <t>CIC_India_2023</t>
  </si>
  <si>
    <t>CIC_PH_2023</t>
  </si>
  <si>
    <t>CIC_China_2023</t>
  </si>
  <si>
    <t>C:\Users\AVTMUE744\Desktop\New folder\monica 2-25-2022\monica 2-25-2022\Monica\</t>
  </si>
  <si>
    <t>Reports feedback - Consolidated file(Excluding Leavers)_Latest (5).xlsx</t>
  </si>
  <si>
    <t>consolidated_2023-03-01.xlsx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</si>
</sst>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1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rgb="FFFFFFFF"/>
      <name val="&amp;quot"/>
    </font>
    <font>
      <sz val="8"/>
      <color rgb="FF333333"/>
      <name val="&amp;quot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rgb="FF000000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888888"/>
      </left>
      <right style="medium">
        <color rgb="FF888888"/>
      </right>
      <top style="medium">
        <color rgb="FF888888"/>
      </top>
      <bottom style="medium">
        <color rgb="FF888888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5" fillId="0" borderId="0"/>
    <xf numFmtId="9" fontId="6" fillId="0" borderId="0" applyFont="0" applyFill="0" applyBorder="0" applyAlignment="0" applyProtection="0"/>
  </cellStyleXfs>
  <cellXfs count="41">
    <xf numFmtId="0" fontId="0" fillId="0" borderId="0" xfId="0"/>
    <xf numFmtId="0" fontId="1" fillId="0" borderId="0" xfId="0" applyFont="1" applyFill="1"/>
    <xf numFmtId="0" fontId="1" fillId="0" borderId="0" xfId="0" applyFont="1"/>
    <xf numFmtId="0" fontId="3" fillId="4" borderId="2" xfId="0" applyFont="1" applyFill="1" applyBorder="1" applyAlignment="1">
      <alignment horizontal="left" vertical="center" wrapText="1"/>
    </xf>
    <xf numFmtId="0" fontId="4" fillId="0" borderId="3" xfId="0" applyFont="1" applyBorder="1" applyAlignment="1">
      <alignment vertical="center" wrapText="1"/>
    </xf>
    <xf numFmtId="0" fontId="4" fillId="5" borderId="3" xfId="0" applyFont="1" applyFill="1" applyBorder="1" applyAlignment="1">
      <alignment vertical="center" wrapText="1"/>
    </xf>
    <xf numFmtId="164" fontId="0" fillId="0" borderId="0" xfId="0" applyNumberFormat="1"/>
    <xf numFmtId="0" fontId="1" fillId="2" borderId="1" xfId="0" applyFont="1" applyFill="1" applyBorder="1"/>
    <xf numFmtId="0" fontId="1" fillId="0" borderId="1" xfId="0" applyFont="1" applyFill="1" applyBorder="1"/>
    <xf numFmtId="0" fontId="1" fillId="0" borderId="1" xfId="0" applyFont="1" applyBorder="1"/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5" borderId="1" xfId="0" applyFont="1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9" fontId="9" fillId="0" borderId="1" xfId="2" applyFont="1" applyBorder="1" applyAlignment="1">
      <alignment horizontal="center"/>
    </xf>
    <xf numFmtId="9" fontId="7" fillId="0" borderId="1" xfId="2" applyFont="1" applyBorder="1" applyAlignment="1">
      <alignment horizontal="center"/>
    </xf>
    <xf numFmtId="9" fontId="0" fillId="0" borderId="0" xfId="0" applyNumberFormat="1" applyAlignment="1">
      <alignment horizontal="center"/>
    </xf>
    <xf numFmtId="9" fontId="0" fillId="0" borderId="0" xfId="2" applyFont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0" fontId="8" fillId="10" borderId="1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9" borderId="1" xfId="0" applyFill="1" applyBorder="1" applyAlignment="1">
      <alignment horizontal="center" wrapText="1"/>
    </xf>
    <xf numFmtId="9" fontId="7" fillId="9" borderId="1" xfId="2" applyFont="1" applyFill="1" applyBorder="1" applyAlignment="1">
      <alignment horizontal="center"/>
    </xf>
    <xf numFmtId="9" fontId="0" fillId="9" borderId="0" xfId="0" applyNumberFormat="1" applyFill="1" applyAlignment="1">
      <alignment horizontal="center"/>
    </xf>
    <xf numFmtId="9" fontId="0" fillId="9" borderId="0" xfId="2" applyFont="1" applyFill="1" applyAlignment="1">
      <alignment horizontal="center"/>
    </xf>
    <xf numFmtId="0" fontId="0" fillId="9" borderId="0" xfId="0" applyFill="1" applyAlignment="1">
      <alignment horizontal="center"/>
    </xf>
    <xf numFmtId="9" fontId="9" fillId="9" borderId="1" xfId="2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9" xfId="0" applyFont="1" applyBorder="1"/>
    <xf numFmtId="0" fontId="2" fillId="3" borderId="1" xfId="0" applyFont="1" applyFill="1" applyBorder="1" applyAlignment="1">
      <alignment horizontal="center"/>
    </xf>
    <xf numFmtId="0" fontId="0" fillId="0" borderId="1" xfId="0" applyBorder="1" applyAlignment="1"/>
    <xf numFmtId="0" fontId="8" fillId="0" borderId="8" xfId="0" applyFont="1" applyBorder="1" applyAlignment="1">
      <alignment horizontal="center"/>
    </xf>
    <xf numFmtId="0" fontId="8" fillId="6" borderId="5" xfId="0" applyFont="1" applyFill="1" applyBorder="1" applyAlignment="1">
      <alignment wrapText="1"/>
    </xf>
    <xf numFmtId="0" fontId="8" fillId="6" borderId="5" xfId="0" applyFont="1" applyFill="1" applyBorder="1" applyAlignment="1"/>
    <xf numFmtId="0" fontId="8" fillId="0" borderId="5" xfId="0" applyFont="1" applyBorder="1" applyAlignment="1"/>
    <xf numFmtId="0" fontId="8" fillId="5" borderId="4" xfId="0" applyFont="1" applyFill="1" applyBorder="1" applyAlignment="1">
      <alignment horizontal="center"/>
    </xf>
    <xf numFmtId="0" fontId="8" fillId="5" borderId="6" xfId="0" applyFont="1" applyFill="1" applyBorder="1" applyAlignment="1">
      <alignment horizontal="center"/>
    </xf>
    <xf numFmtId="0" fontId="8" fillId="0" borderId="7" xfId="0" applyFont="1" applyBorder="1" applyAlignment="1">
      <alignment horizontal="center"/>
    </xf>
  </cellXfs>
  <cellStyles count="3">
    <cellStyle name="??" xfId="1" xr:uid="{A4CE98CA-05DC-4522-8CB0-605B74C020D1}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5086350</xdr:colOff>
          <xdr:row>11</xdr:row>
          <xdr:rowOff>76200</xdr:rowOff>
        </xdr:from>
        <xdr:to>
          <xdr:col>1</xdr:col>
          <xdr:colOff>355600</xdr:colOff>
          <xdr:row>16</xdr:row>
          <xdr:rowOff>31750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Click on Button to 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88"/>
  <sheetViews>
    <sheetView tabSelected="1" zoomScale="95" zoomScaleNormal="95" workbookViewId="0">
      <selection activeCell="C8" sqref="C8"/>
    </sheetView>
  </sheetViews>
  <sheetFormatPr defaultColWidth="8.7265625" defaultRowHeight="13"/>
  <cols>
    <col min="1" max="1" width="39.453125" style="2" bestFit="1" customWidth="1"/>
    <col min="2" max="2" width="73.26953125" style="2" customWidth="1"/>
    <col min="3" max="3" width="57.7265625" style="2" bestFit="1" customWidth="1"/>
    <col min="4" max="4" width="29.7265625" style="2" bestFit="1" customWidth="1"/>
    <col min="5" max="5" width="24.453125" style="2" bestFit="1" customWidth="1"/>
    <col min="6" max="6" width="23.54296875" style="2" bestFit="1" customWidth="1"/>
    <col min="7" max="7" width="1.81640625" style="2" bestFit="1" customWidth="1"/>
    <col min="8" max="9" width="17.26953125" style="2" bestFit="1" customWidth="1"/>
    <col min="10" max="16384" width="8.7265625" style="2"/>
  </cols>
  <sheetData>
    <row r="1" spans="1:9" s="1" customFormat="1" ht="14.5">
      <c r="A1" s="32" t="s">
        <v>0</v>
      </c>
      <c r="B1" s="32"/>
      <c r="C1" s="33"/>
    </row>
    <row r="2" spans="1:9" s="1" customFormat="1">
      <c r="A2" s="7" t="s">
        <v>1</v>
      </c>
      <c r="B2" s="9" t="s">
        <v>128</v>
      </c>
      <c r="C2" s="8" t="s">
        <v>2</v>
      </c>
    </row>
    <row r="3" spans="1:9" s="1" customFormat="1">
      <c r="A3" s="7" t="s">
        <v>3</v>
      </c>
      <c r="B3" s="9" t="s">
        <v>128</v>
      </c>
      <c r="C3" s="2" t="s">
        <v>129</v>
      </c>
    </row>
    <row r="4" spans="1:9" s="1" customFormat="1">
      <c r="A4" s="7" t="s">
        <v>4</v>
      </c>
      <c r="B4" s="9" t="s">
        <v>128</v>
      </c>
      <c r="C4" s="9" t="s">
        <v>108</v>
      </c>
    </row>
    <row r="5" spans="1:9" s="1" customFormat="1">
      <c r="A5" s="7" t="s">
        <v>5</v>
      </c>
      <c r="B5" s="9" t="s">
        <v>128</v>
      </c>
      <c r="C5" s="9" t="s">
        <v>109</v>
      </c>
    </row>
    <row r="6" spans="1:9" s="1" customFormat="1">
      <c r="A6" s="7" t="s">
        <v>6</v>
      </c>
      <c r="B6" s="9" t="s">
        <v>128</v>
      </c>
      <c r="C6" s="9" t="s">
        <v>110</v>
      </c>
    </row>
    <row r="7" spans="1:9" s="1" customFormat="1">
      <c r="A7" s="7" t="s">
        <v>7</v>
      </c>
      <c r="B7" s="9" t="s">
        <v>128</v>
      </c>
      <c r="C7" s="31" t="s">
        <v>111</v>
      </c>
    </row>
    <row r="8" spans="1:9" s="1" customFormat="1">
      <c r="A8" s="7" t="s">
        <v>8</v>
      </c>
      <c r="B8" s="9" t="s">
        <v>128</v>
      </c>
      <c r="C8" s="8" t="s">
        <v>130</v>
      </c>
    </row>
    <row r="9" spans="1:9" s="1" customFormat="1"/>
    <row r="10" spans="1:9" s="1" customFormat="1">
      <c r="D10" s="2"/>
      <c r="E10" s="2"/>
      <c r="F10" s="2"/>
      <c r="G10" s="2"/>
      <c r="H10" s="2"/>
      <c r="I10" s="2"/>
    </row>
    <row r="11" spans="1:9" s="1" customFormat="1">
      <c r="A11" s="2"/>
      <c r="B11" s="2"/>
      <c r="C11" s="2"/>
      <c r="D11" s="2"/>
      <c r="E11" s="2"/>
      <c r="F11" s="2"/>
      <c r="G11" s="2"/>
      <c r="H11" s="2"/>
      <c r="I11" s="2"/>
    </row>
    <row r="12" spans="1:9">
      <c r="B12" s="9"/>
    </row>
    <row r="13" spans="1:9" s="1" customFormat="1">
      <c r="A13" s="2"/>
      <c r="B13" s="2"/>
      <c r="C13" s="2"/>
      <c r="D13" s="2"/>
      <c r="E13" s="2"/>
      <c r="F13" s="2"/>
      <c r="G13" s="2"/>
      <c r="H13" s="2"/>
      <c r="I13" s="2"/>
    </row>
    <row r="14" spans="1:9" s="1" customFormat="1">
      <c r="A14" s="2"/>
      <c r="B14" s="2"/>
      <c r="C14" s="9"/>
      <c r="D14" s="2"/>
      <c r="E14" s="2"/>
      <c r="F14" s="2"/>
      <c r="G14" s="2"/>
      <c r="H14" s="2"/>
      <c r="I14" s="2"/>
    </row>
    <row r="15" spans="1:9" s="1" customFormat="1">
      <c r="A15" s="2"/>
      <c r="B15" s="2"/>
      <c r="C15" s="2"/>
      <c r="D15" s="2"/>
      <c r="E15" s="2"/>
      <c r="F15" s="2"/>
      <c r="G15" s="2"/>
      <c r="H15" s="2"/>
      <c r="I15" s="2"/>
    </row>
    <row r="17" spans="1:9" s="1" customFormat="1">
      <c r="A17" s="2"/>
      <c r="B17" s="2"/>
      <c r="C17" s="2"/>
      <c r="D17" s="2"/>
      <c r="E17" s="2"/>
      <c r="F17" s="2"/>
      <c r="G17" s="2"/>
      <c r="H17" s="2"/>
      <c r="I17" s="2"/>
    </row>
    <row r="23" spans="1:9" s="1" customFormat="1">
      <c r="A23" s="2"/>
      <c r="B23" s="2"/>
      <c r="C23" s="2"/>
      <c r="D23" s="2"/>
      <c r="E23" s="2"/>
      <c r="F23" s="2"/>
      <c r="G23" s="2"/>
      <c r="H23" s="2"/>
      <c r="I23" s="2"/>
    </row>
    <row r="262" spans="7:7">
      <c r="G262" s="2">
        <f>SUM(G4:G261)</f>
        <v>0</v>
      </c>
    </row>
    <row r="488" spans="7:7">
      <c r="G488" s="2">
        <f>SUM(G4:G487)</f>
        <v>0</v>
      </c>
    </row>
  </sheetData>
  <mergeCells count="1">
    <mergeCell ref="A1:C1"/>
  </mergeCells>
  <phoneticPr fontId="1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Button1_Click">
                <anchor moveWithCells="1" sizeWithCells="1">
                  <from>
                    <xdr:col>0</xdr:col>
                    <xdr:colOff>5086350</xdr:colOff>
                    <xdr:row>11</xdr:row>
                    <xdr:rowOff>76200</xdr:rowOff>
                  </from>
                  <to>
                    <xdr:col>1</xdr:col>
                    <xdr:colOff>355600</xdr:colOff>
                    <xdr:row>16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BF118-FE88-4077-8311-EB46A675269D}">
  <sheetPr codeName="Sheet4"/>
  <dimension ref="A1"/>
  <sheetViews>
    <sheetView workbookViewId="0"/>
  </sheetViews>
  <sheetFormatPr defaultRowHeight="14.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B4B4C-41F7-4AA1-A3E3-6BC270AF9664}">
  <sheetPr codeName="Sheet2"/>
  <dimension ref="A1"/>
  <sheetViews>
    <sheetView zoomScale="85" zoomScaleNormal="85" workbookViewId="0">
      <selection activeCell="A21" sqref="A21"/>
    </sheetView>
  </sheetViews>
  <sheetFormatPr defaultRowHeight="14.5"/>
  <sheetData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27B48-5BC6-4BC5-BE4D-D00D516448D6}">
  <sheetPr codeName="Sheet7"/>
  <dimension ref="A1:P14"/>
  <sheetViews>
    <sheetView workbookViewId="0">
      <selection activeCell="B13" sqref="B13"/>
    </sheetView>
  </sheetViews>
  <sheetFormatPr defaultRowHeight="14.5"/>
  <cols>
    <col min="1" max="1" width="24.7265625" customWidth="1"/>
    <col min="2" max="2" width="26.1796875" customWidth="1"/>
    <col min="3" max="3" width="33" customWidth="1"/>
    <col min="7" max="7" width="18.453125" customWidth="1"/>
    <col min="8" max="8" width="27.453125" customWidth="1"/>
    <col min="11" max="16" width="10.1796875" bestFit="1" customWidth="1"/>
  </cols>
  <sheetData>
    <row r="1" spans="1:16" ht="15" thickBot="1">
      <c r="A1" s="3" t="s">
        <v>9</v>
      </c>
      <c r="B1" s="3" t="s">
        <v>10</v>
      </c>
    </row>
    <row r="2" spans="1:16" ht="15" thickBot="1">
      <c r="A2" s="5" t="s">
        <v>11</v>
      </c>
      <c r="B2" s="5" t="s">
        <v>12</v>
      </c>
      <c r="K2" s="6">
        <f>WORKDAY.INTL(F2,10,1)</f>
        <v>13</v>
      </c>
      <c r="L2" s="6">
        <f>WORKDAY.INTL(F2,39,1)</f>
        <v>54</v>
      </c>
      <c r="M2" s="6">
        <f>WORKDAY.INTL(F2,28,1)</f>
        <v>39</v>
      </c>
      <c r="N2" s="6">
        <f>WORKDAY.INTL(F2,261,1)</f>
        <v>366</v>
      </c>
      <c r="O2" s="6">
        <f>WORKDAY.INTL(F2,217,1)</f>
        <v>304</v>
      </c>
      <c r="P2" s="6">
        <f>WORKDAY.INTL(F2,304,1)</f>
        <v>425</v>
      </c>
    </row>
    <row r="3" spans="1:16" ht="15" thickBot="1">
      <c r="A3" s="5">
        <v>2</v>
      </c>
      <c r="B3" s="5" t="s">
        <v>13</v>
      </c>
      <c r="F3" s="6"/>
      <c r="K3" s="6">
        <f>WORKDAY.INTL(F3,10,1)</f>
        <v>13</v>
      </c>
      <c r="L3" s="6">
        <f>WORKDAY.INTL(F3,39,1)</f>
        <v>54</v>
      </c>
      <c r="M3" s="6">
        <f>WORKDAY.INTL(F3,28,1)</f>
        <v>39</v>
      </c>
      <c r="N3" s="6">
        <f>WORKDAY.INTL(F3,261,1)</f>
        <v>366</v>
      </c>
      <c r="O3" s="6">
        <f>WORKDAY.INTL(F3,217,1)</f>
        <v>304</v>
      </c>
      <c r="P3" s="6">
        <f>WORKDAY.INTL(F3,304,1)</f>
        <v>425</v>
      </c>
    </row>
    <row r="4" spans="1:16" ht="15" thickBot="1">
      <c r="A4" s="5">
        <v>3</v>
      </c>
      <c r="B4" s="5" t="s">
        <v>14</v>
      </c>
      <c r="F4" s="6"/>
      <c r="I4" s="4"/>
      <c r="K4" s="6">
        <f>WORKDAY.INTL(F4,10,1)</f>
        <v>13</v>
      </c>
      <c r="L4" s="6">
        <f>WORKDAY.INTL(F4,39,1)</f>
        <v>54</v>
      </c>
      <c r="M4" s="6">
        <f>WORKDAY.INTL(F4,28,1)</f>
        <v>39</v>
      </c>
      <c r="N4" s="6">
        <f>WORKDAY.INTL(F4,261,1)</f>
        <v>366</v>
      </c>
      <c r="O4" s="6">
        <f>WORKDAY.INTL(F4,217,1)</f>
        <v>304</v>
      </c>
      <c r="P4" s="6">
        <f>WORKDAY.INTL(F4,304,1)</f>
        <v>425</v>
      </c>
    </row>
    <row r="5" spans="1:16" ht="12.65" customHeight="1" thickBot="1">
      <c r="A5" s="5">
        <v>4</v>
      </c>
      <c r="B5" s="5" t="s">
        <v>15</v>
      </c>
      <c r="F5" s="6"/>
    </row>
    <row r="6" spans="1:16" ht="14.5" customHeight="1" thickBot="1">
      <c r="A6" s="5">
        <v>5</v>
      </c>
      <c r="B6" s="5" t="s">
        <v>16</v>
      </c>
    </row>
    <row r="7" spans="1:16" ht="15" thickBot="1">
      <c r="A7" s="5">
        <v>6</v>
      </c>
      <c r="B7" s="5" t="s">
        <v>17</v>
      </c>
    </row>
    <row r="8" spans="1:16" ht="15" thickBot="1">
      <c r="A8" s="5">
        <v>7</v>
      </c>
      <c r="B8" s="5" t="s">
        <v>18</v>
      </c>
    </row>
    <row r="9" spans="1:16" ht="15" thickBot="1">
      <c r="A9" s="5">
        <v>11</v>
      </c>
      <c r="B9" s="5" t="s">
        <v>19</v>
      </c>
    </row>
    <row r="10" spans="1:16" ht="15" thickBot="1">
      <c r="A10" s="5">
        <v>12</v>
      </c>
      <c r="B10" s="5" t="s">
        <v>20</v>
      </c>
    </row>
    <row r="11" spans="1:16" ht="15" thickBot="1">
      <c r="A11" s="5">
        <v>13</v>
      </c>
      <c r="B11" s="5" t="s">
        <v>21</v>
      </c>
    </row>
    <row r="12" spans="1:16" ht="15" thickBot="1">
      <c r="A12" s="5">
        <v>14</v>
      </c>
      <c r="B12" s="5" t="s">
        <v>22</v>
      </c>
    </row>
    <row r="13" spans="1:16" ht="15" thickBot="1">
      <c r="A13" s="5">
        <v>15</v>
      </c>
      <c r="B13" s="5" t="s">
        <v>23</v>
      </c>
    </row>
    <row r="14" spans="1:16" ht="15" thickBot="1">
      <c r="A14" s="5">
        <v>16</v>
      </c>
      <c r="B14" s="5" t="s">
        <v>24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0B347-E2E0-46AC-A608-2582A580EA8D}">
  <sheetPr codeName="Sheet3"/>
  <dimension ref="A1:AG66"/>
  <sheetViews>
    <sheetView zoomScaleNormal="100" workbookViewId="0">
      <selection activeCell="D14" sqref="D14"/>
    </sheetView>
  </sheetViews>
  <sheetFormatPr defaultColWidth="8.7265625" defaultRowHeight="14.5"/>
  <cols>
    <col min="1" max="1" width="17.54296875" style="11" customWidth="1"/>
    <col min="2" max="2" width="19.453125" style="11" customWidth="1"/>
    <col min="3" max="3" width="19.7265625" style="11" customWidth="1"/>
    <col min="4" max="4" width="36.54296875" style="11" bestFit="1" customWidth="1"/>
    <col min="5" max="5" width="5" style="11" bestFit="1" customWidth="1"/>
    <col min="6" max="6" width="8.81640625" style="11" bestFit="1" customWidth="1"/>
    <col min="7" max="7" width="10" style="11" bestFit="1" customWidth="1"/>
    <col min="8" max="8" width="10.26953125" style="11" bestFit="1" customWidth="1"/>
    <col min="9" max="9" width="12.453125" style="11" customWidth="1"/>
    <col min="10" max="10" width="8.81640625" style="11" bestFit="1" customWidth="1"/>
    <col min="11" max="11" width="10" style="11" bestFit="1" customWidth="1"/>
    <col min="12" max="12" width="10.26953125" style="11" bestFit="1" customWidth="1"/>
    <col min="13" max="13" width="12.453125" style="11" customWidth="1"/>
    <col min="14" max="14" width="8.81640625" style="11" bestFit="1" customWidth="1"/>
    <col min="15" max="15" width="10" style="11" bestFit="1" customWidth="1"/>
    <col min="16" max="16" width="10.26953125" style="11" customWidth="1"/>
    <col min="17" max="17" width="12.453125" style="11" customWidth="1"/>
    <col min="18" max="18" width="50.81640625" style="11" customWidth="1"/>
    <col min="19" max="19" width="8.7265625" style="11"/>
    <col min="20" max="20" width="50.81640625" style="11" bestFit="1" customWidth="1"/>
    <col min="21" max="16384" width="8.7265625" style="11"/>
  </cols>
  <sheetData>
    <row r="1" spans="1:33">
      <c r="A1" s="35" t="s">
        <v>105</v>
      </c>
      <c r="B1" s="36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10"/>
    </row>
    <row r="2" spans="1:33">
      <c r="A2" s="12" t="s">
        <v>25</v>
      </c>
      <c r="B2" s="12" t="s">
        <v>26</v>
      </c>
      <c r="C2" s="12" t="s">
        <v>27</v>
      </c>
      <c r="D2" s="12" t="s">
        <v>112</v>
      </c>
      <c r="E2" s="12" t="s">
        <v>28</v>
      </c>
      <c r="F2" s="38" t="s">
        <v>29</v>
      </c>
      <c r="G2" s="39"/>
      <c r="H2" s="39"/>
      <c r="I2" s="40"/>
      <c r="J2" s="38" t="s">
        <v>30</v>
      </c>
      <c r="K2" s="39"/>
      <c r="L2" s="39"/>
      <c r="M2" s="40"/>
      <c r="N2" s="38" t="s">
        <v>31</v>
      </c>
      <c r="O2" s="39"/>
      <c r="P2" s="39"/>
      <c r="Q2" s="40"/>
      <c r="R2" s="10"/>
    </row>
    <row r="3" spans="1:33">
      <c r="A3" s="13"/>
      <c r="B3" s="13"/>
      <c r="C3" s="13"/>
      <c r="D3" s="13"/>
      <c r="E3" s="13"/>
      <c r="F3" s="13" t="s">
        <v>32</v>
      </c>
      <c r="G3" s="13" t="s">
        <v>33</v>
      </c>
      <c r="H3" s="13" t="s">
        <v>34</v>
      </c>
      <c r="I3" s="13" t="s">
        <v>35</v>
      </c>
      <c r="J3" s="13" t="s">
        <v>32</v>
      </c>
      <c r="K3" s="13" t="s">
        <v>33</v>
      </c>
      <c r="L3" s="13" t="s">
        <v>34</v>
      </c>
      <c r="M3" s="13" t="s">
        <v>35</v>
      </c>
      <c r="N3" s="13" t="s">
        <v>32</v>
      </c>
      <c r="O3" s="13" t="s">
        <v>33</v>
      </c>
      <c r="P3" s="13" t="s">
        <v>34</v>
      </c>
      <c r="Q3" s="13" t="s">
        <v>35</v>
      </c>
      <c r="R3" s="10" t="s">
        <v>36</v>
      </c>
      <c r="T3" s="10" t="s">
        <v>37</v>
      </c>
    </row>
    <row r="4" spans="1:33">
      <c r="A4" s="14">
        <v>2020</v>
      </c>
      <c r="B4" s="14" t="s">
        <v>38</v>
      </c>
      <c r="C4" s="14" t="s">
        <v>39</v>
      </c>
      <c r="D4" s="14" t="s">
        <v>40</v>
      </c>
      <c r="E4" s="14"/>
      <c r="F4" s="14"/>
      <c r="G4" s="14"/>
      <c r="H4" s="14"/>
      <c r="I4" s="15"/>
      <c r="J4" s="14"/>
      <c r="K4" s="14">
        <v>0</v>
      </c>
      <c r="L4" s="14">
        <v>0</v>
      </c>
      <c r="M4" s="16">
        <v>0</v>
      </c>
      <c r="N4" s="14">
        <v>0</v>
      </c>
      <c r="O4" s="14"/>
      <c r="P4" s="14"/>
      <c r="Q4" s="16"/>
      <c r="R4" s="17">
        <v>0</v>
      </c>
      <c r="S4" s="18">
        <v>0</v>
      </c>
      <c r="T4" s="11">
        <v>0</v>
      </c>
      <c r="U4" s="11">
        <v>0</v>
      </c>
      <c r="Y4" s="11">
        <v>0</v>
      </c>
      <c r="Z4" s="11">
        <v>0</v>
      </c>
      <c r="AA4" s="11">
        <v>0</v>
      </c>
      <c r="AD4" s="11">
        <v>0</v>
      </c>
      <c r="AE4" s="11">
        <v>0</v>
      </c>
      <c r="AF4" s="11">
        <v>0</v>
      </c>
      <c r="AG4" s="11">
        <v>0</v>
      </c>
    </row>
    <row r="5" spans="1:33">
      <c r="A5" s="14">
        <v>2020</v>
      </c>
      <c r="B5" s="14" t="s">
        <v>38</v>
      </c>
      <c r="C5" s="14" t="s">
        <v>41</v>
      </c>
      <c r="D5" s="14" t="s">
        <v>106</v>
      </c>
      <c r="E5" s="14">
        <v>0</v>
      </c>
      <c r="F5" s="14">
        <v>0</v>
      </c>
      <c r="G5" s="14">
        <v>0</v>
      </c>
      <c r="H5" s="14"/>
      <c r="I5" s="15"/>
      <c r="J5" s="14"/>
      <c r="K5" s="14">
        <v>0</v>
      </c>
      <c r="L5" s="14">
        <v>0</v>
      </c>
      <c r="M5" s="16">
        <v>0</v>
      </c>
      <c r="N5" s="14">
        <v>0</v>
      </c>
      <c r="O5" s="14"/>
      <c r="P5" s="14"/>
      <c r="Q5" s="16"/>
      <c r="R5" s="17">
        <v>0</v>
      </c>
      <c r="S5" s="18">
        <v>0</v>
      </c>
      <c r="T5" s="11">
        <v>0</v>
      </c>
      <c r="U5" s="11">
        <v>0</v>
      </c>
      <c r="Y5" s="11">
        <v>0</v>
      </c>
      <c r="Z5" s="11">
        <v>0</v>
      </c>
      <c r="AA5" s="11">
        <v>0</v>
      </c>
      <c r="AD5" s="11">
        <v>0</v>
      </c>
      <c r="AE5" s="11">
        <v>0</v>
      </c>
      <c r="AF5" s="11">
        <v>0</v>
      </c>
      <c r="AG5" s="11">
        <v>0</v>
      </c>
    </row>
    <row r="6" spans="1:33" s="23" customFormat="1">
      <c r="A6" s="19">
        <v>2020</v>
      </c>
      <c r="B6" s="19" t="s">
        <v>42</v>
      </c>
      <c r="C6" s="19" t="s">
        <v>43</v>
      </c>
      <c r="D6" s="20" t="s">
        <v>44</v>
      </c>
      <c r="E6" s="21"/>
      <c r="F6" s="22"/>
      <c r="G6" s="22"/>
      <c r="H6" s="22"/>
      <c r="I6" s="15"/>
      <c r="J6" s="22"/>
      <c r="K6" s="22"/>
      <c r="L6" s="22"/>
      <c r="M6" s="16"/>
      <c r="N6" s="22"/>
      <c r="O6" s="19"/>
      <c r="P6" s="19"/>
      <c r="Q6" s="16"/>
      <c r="R6" s="17"/>
      <c r="S6" s="18"/>
    </row>
    <row r="7" spans="1:33">
      <c r="A7" s="14">
        <v>2020</v>
      </c>
      <c r="B7" s="14" t="s">
        <v>42</v>
      </c>
      <c r="C7" s="14" t="s">
        <v>45</v>
      </c>
      <c r="D7" s="14" t="s">
        <v>46</v>
      </c>
      <c r="E7" s="14"/>
      <c r="F7" s="14" t="s">
        <v>107</v>
      </c>
      <c r="G7" s="14"/>
      <c r="H7" s="14"/>
      <c r="I7" s="16"/>
      <c r="J7" s="14"/>
      <c r="K7" s="14"/>
      <c r="L7" s="14"/>
      <c r="M7" s="16"/>
      <c r="N7" s="14"/>
      <c r="O7" s="14"/>
      <c r="P7" s="14"/>
      <c r="Q7" s="16"/>
      <c r="R7" s="17"/>
      <c r="S7" s="18"/>
    </row>
    <row r="8" spans="1:33">
      <c r="A8" s="14">
        <v>2020</v>
      </c>
      <c r="B8" s="14" t="s">
        <v>47</v>
      </c>
      <c r="C8" s="14" t="s">
        <v>48</v>
      </c>
      <c r="D8" s="14" t="s">
        <v>49</v>
      </c>
      <c r="E8" s="14"/>
      <c r="F8" s="14"/>
      <c r="G8" s="14"/>
      <c r="H8" s="14"/>
      <c r="I8" s="16"/>
      <c r="J8" s="14"/>
      <c r="K8" s="14"/>
      <c r="L8" s="14"/>
      <c r="M8" s="16"/>
      <c r="N8" s="14"/>
      <c r="O8" s="14"/>
      <c r="P8" s="14"/>
      <c r="Q8" s="16"/>
      <c r="R8" s="17"/>
      <c r="S8" s="18"/>
    </row>
    <row r="9" spans="1:33" ht="29">
      <c r="A9" s="14">
        <v>2020</v>
      </c>
      <c r="B9" s="14" t="s">
        <v>47</v>
      </c>
      <c r="C9" s="14" t="s">
        <v>50</v>
      </c>
      <c r="D9" s="24" t="s">
        <v>51</v>
      </c>
      <c r="E9" s="14"/>
      <c r="F9" s="14"/>
      <c r="G9" s="14"/>
      <c r="H9" s="14"/>
      <c r="I9" s="15"/>
      <c r="J9" s="14"/>
      <c r="K9" s="14"/>
      <c r="L9" s="14"/>
      <c r="M9" s="16"/>
      <c r="N9" s="14"/>
      <c r="O9" s="14"/>
      <c r="P9" s="14"/>
      <c r="Q9" s="16"/>
      <c r="R9" s="17"/>
      <c r="S9" s="18"/>
    </row>
    <row r="10" spans="1:33">
      <c r="A10" s="14">
        <v>2020</v>
      </c>
      <c r="B10" s="14" t="s">
        <v>52</v>
      </c>
      <c r="C10" s="14" t="s">
        <v>52</v>
      </c>
      <c r="D10" s="14" t="s">
        <v>53</v>
      </c>
      <c r="E10" s="14"/>
      <c r="F10" s="14"/>
      <c r="G10" s="14"/>
      <c r="H10" s="14"/>
      <c r="I10" s="15"/>
      <c r="J10" s="14"/>
      <c r="K10" s="14"/>
      <c r="L10" s="14"/>
      <c r="M10" s="15"/>
      <c r="N10" s="14"/>
      <c r="O10" s="14"/>
      <c r="P10" s="14"/>
      <c r="Q10" s="16"/>
      <c r="R10" s="17"/>
      <c r="S10" s="18"/>
    </row>
    <row r="11" spans="1:33">
      <c r="A11" s="14">
        <v>2020</v>
      </c>
      <c r="B11" s="14" t="s">
        <v>54</v>
      </c>
      <c r="C11" s="14" t="s">
        <v>55</v>
      </c>
      <c r="D11" s="14" t="s">
        <v>56</v>
      </c>
      <c r="E11" s="14"/>
      <c r="F11" s="14"/>
      <c r="G11" s="14"/>
      <c r="H11" s="14"/>
      <c r="I11" s="16"/>
      <c r="J11" s="14"/>
      <c r="K11" s="14"/>
      <c r="L11" s="14"/>
      <c r="M11" s="16"/>
      <c r="N11" s="14"/>
      <c r="O11" s="14"/>
      <c r="P11" s="14"/>
      <c r="Q11" s="16"/>
      <c r="R11" s="17"/>
      <c r="S11" s="18"/>
    </row>
    <row r="12" spans="1:33" s="28" customFormat="1">
      <c r="A12" s="20">
        <v>2020</v>
      </c>
      <c r="B12" s="20" t="s">
        <v>54</v>
      </c>
      <c r="C12" s="20" t="s">
        <v>57</v>
      </c>
      <c r="D12" s="20" t="s">
        <v>58</v>
      </c>
      <c r="E12" s="20"/>
      <c r="F12" s="20"/>
      <c r="G12" s="20"/>
      <c r="H12" s="20"/>
      <c r="I12" s="25"/>
      <c r="J12" s="20"/>
      <c r="K12" s="20"/>
      <c r="L12" s="20"/>
      <c r="M12" s="25"/>
      <c r="N12" s="20"/>
      <c r="O12" s="20"/>
      <c r="P12" s="20"/>
      <c r="Q12" s="25"/>
      <c r="R12" s="26"/>
      <c r="S12" s="27"/>
    </row>
    <row r="13" spans="1:33">
      <c r="A13" s="14">
        <v>2020</v>
      </c>
      <c r="B13" s="14" t="s">
        <v>54</v>
      </c>
      <c r="C13" s="14" t="s">
        <v>59</v>
      </c>
      <c r="D13" s="14" t="s">
        <v>60</v>
      </c>
      <c r="E13" s="14"/>
      <c r="F13" s="14"/>
      <c r="G13" s="14"/>
      <c r="H13" s="14"/>
      <c r="I13" s="16"/>
      <c r="J13" s="14"/>
      <c r="K13" s="14"/>
      <c r="L13" s="14"/>
      <c r="M13" s="16"/>
      <c r="N13" s="14"/>
      <c r="O13" s="14"/>
      <c r="P13" s="14"/>
      <c r="Q13" s="16"/>
      <c r="R13" s="17"/>
      <c r="S13" s="18"/>
    </row>
    <row r="14" spans="1:33" s="28" customFormat="1">
      <c r="A14" s="20">
        <v>2020</v>
      </c>
      <c r="B14" s="20" t="s">
        <v>54</v>
      </c>
      <c r="C14" s="20" t="s">
        <v>61</v>
      </c>
      <c r="D14" s="20" t="s">
        <v>62</v>
      </c>
      <c r="E14" s="20"/>
      <c r="F14" s="20"/>
      <c r="G14" s="20"/>
      <c r="H14" s="20"/>
      <c r="I14" s="25"/>
      <c r="J14" s="20"/>
      <c r="K14" s="20"/>
      <c r="L14" s="20"/>
      <c r="M14" s="25"/>
      <c r="N14" s="20"/>
      <c r="O14" s="20"/>
      <c r="P14" s="20"/>
      <c r="Q14" s="25"/>
      <c r="R14" s="17"/>
      <c r="S14" s="18"/>
    </row>
    <row r="15" spans="1:33">
      <c r="A15" s="14">
        <v>2020</v>
      </c>
      <c r="B15" s="14" t="s">
        <v>54</v>
      </c>
      <c r="C15" s="14" t="s">
        <v>63</v>
      </c>
      <c r="D15" s="14" t="s">
        <v>64</v>
      </c>
      <c r="E15" s="14"/>
      <c r="F15" s="14"/>
      <c r="G15" s="14"/>
      <c r="H15" s="14"/>
      <c r="I15" s="16"/>
      <c r="J15" s="14"/>
      <c r="K15" s="14"/>
      <c r="L15" s="14"/>
      <c r="M15" s="16"/>
      <c r="N15" s="14"/>
      <c r="O15" s="14"/>
      <c r="P15" s="14"/>
      <c r="Q15" s="16"/>
      <c r="R15" s="17"/>
      <c r="S15" s="18"/>
    </row>
    <row r="16" spans="1:33">
      <c r="A16" s="14">
        <v>2020</v>
      </c>
      <c r="B16" s="14" t="s">
        <v>54</v>
      </c>
      <c r="C16" s="14" t="s">
        <v>65</v>
      </c>
      <c r="D16" s="14" t="s">
        <v>66</v>
      </c>
      <c r="E16" s="14"/>
      <c r="F16" s="14"/>
      <c r="G16" s="14"/>
      <c r="H16" s="14"/>
      <c r="I16" s="16"/>
      <c r="J16" s="14"/>
      <c r="K16" s="14"/>
      <c r="L16" s="14"/>
      <c r="M16" s="16"/>
      <c r="N16" s="14"/>
      <c r="O16" s="14"/>
      <c r="P16" s="14"/>
      <c r="Q16" s="16"/>
      <c r="R16" s="17"/>
      <c r="S16" s="18"/>
    </row>
    <row r="17" spans="1:19">
      <c r="A17" s="14">
        <v>2020</v>
      </c>
      <c r="B17" s="14" t="s">
        <v>54</v>
      </c>
      <c r="C17" s="14" t="s">
        <v>67</v>
      </c>
      <c r="D17" s="14" t="s">
        <v>68</v>
      </c>
      <c r="E17" s="14"/>
      <c r="F17" s="14"/>
      <c r="G17" s="14"/>
      <c r="H17" s="14"/>
      <c r="I17" s="15"/>
      <c r="J17" s="14"/>
      <c r="K17" s="14"/>
      <c r="L17" s="14"/>
      <c r="M17" s="16"/>
      <c r="N17" s="14"/>
      <c r="O17" s="14"/>
      <c r="P17" s="14"/>
      <c r="Q17" s="16"/>
      <c r="R17" s="17"/>
      <c r="S17" s="18"/>
    </row>
    <row r="18" spans="1:19" s="28" customFormat="1">
      <c r="A18" s="20">
        <v>2020</v>
      </c>
      <c r="B18" s="20" t="s">
        <v>54</v>
      </c>
      <c r="C18" s="20" t="s">
        <v>69</v>
      </c>
      <c r="D18" s="20" t="s">
        <v>70</v>
      </c>
      <c r="E18" s="20"/>
      <c r="F18" s="20"/>
      <c r="G18" s="20"/>
      <c r="H18" s="20"/>
      <c r="I18" s="29"/>
      <c r="J18" s="20"/>
      <c r="K18" s="20"/>
      <c r="L18" s="20"/>
      <c r="M18" s="25"/>
      <c r="N18" s="20"/>
      <c r="O18" s="20"/>
      <c r="P18" s="20"/>
      <c r="Q18" s="25"/>
      <c r="R18" s="26"/>
      <c r="S18" s="27"/>
    </row>
    <row r="19" spans="1:19">
      <c r="A19" s="14">
        <v>2021</v>
      </c>
      <c r="B19" s="14" t="s">
        <v>38</v>
      </c>
      <c r="C19" s="14" t="s">
        <v>39</v>
      </c>
      <c r="D19" s="14" t="s">
        <v>71</v>
      </c>
      <c r="E19" s="14"/>
      <c r="F19" s="14"/>
      <c r="G19" s="14"/>
      <c r="H19" s="14"/>
      <c r="I19" s="16"/>
      <c r="J19" s="14"/>
      <c r="K19" s="14"/>
      <c r="L19" s="14"/>
      <c r="M19" s="16"/>
      <c r="N19" s="14"/>
      <c r="O19" s="14"/>
      <c r="P19" s="14"/>
      <c r="Q19" s="16"/>
      <c r="R19" s="17"/>
      <c r="S19" s="18"/>
    </row>
    <row r="20" spans="1:19">
      <c r="A20" s="14">
        <v>2021</v>
      </c>
      <c r="B20" s="14" t="s">
        <v>38</v>
      </c>
      <c r="C20" s="14" t="s">
        <v>41</v>
      </c>
      <c r="D20" s="14" t="s">
        <v>72</v>
      </c>
      <c r="E20" s="14"/>
      <c r="F20" s="14"/>
      <c r="G20" s="14"/>
      <c r="H20" s="14"/>
      <c r="I20" s="16"/>
      <c r="J20" s="14"/>
      <c r="K20" s="14"/>
      <c r="L20" s="14"/>
      <c r="M20" s="16"/>
      <c r="N20" s="14"/>
      <c r="O20" s="14"/>
      <c r="P20" s="14"/>
      <c r="Q20" s="16"/>
      <c r="R20" s="17"/>
      <c r="S20" s="18"/>
    </row>
    <row r="21" spans="1:19">
      <c r="A21" s="14">
        <v>2021</v>
      </c>
      <c r="B21" s="14" t="s">
        <v>42</v>
      </c>
      <c r="C21" s="14" t="s">
        <v>43</v>
      </c>
      <c r="D21" s="20" t="s">
        <v>73</v>
      </c>
      <c r="E21" s="14"/>
      <c r="F21" s="14"/>
      <c r="G21" s="14"/>
      <c r="H21" s="14"/>
      <c r="I21" s="16"/>
      <c r="J21" s="14"/>
      <c r="K21" s="14"/>
      <c r="L21" s="14"/>
      <c r="M21" s="16"/>
      <c r="N21" s="14"/>
      <c r="O21" s="14"/>
      <c r="P21" s="14"/>
      <c r="Q21" s="16"/>
      <c r="R21" s="17"/>
      <c r="S21" s="18"/>
    </row>
    <row r="22" spans="1:19">
      <c r="A22" s="14">
        <v>2021</v>
      </c>
      <c r="B22" s="14" t="s">
        <v>42</v>
      </c>
      <c r="C22" s="14" t="s">
        <v>45</v>
      </c>
      <c r="D22" s="14" t="s">
        <v>74</v>
      </c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7"/>
      <c r="S22" s="18"/>
    </row>
    <row r="23" spans="1:19">
      <c r="A23" s="14">
        <v>2021</v>
      </c>
      <c r="B23" s="14" t="s">
        <v>47</v>
      </c>
      <c r="C23" s="14" t="s">
        <v>48</v>
      </c>
      <c r="D23" s="14" t="s">
        <v>75</v>
      </c>
      <c r="E23" s="14"/>
      <c r="F23" s="14"/>
      <c r="G23" s="14"/>
      <c r="H23" s="14"/>
      <c r="I23" s="16"/>
      <c r="J23" s="14"/>
      <c r="K23" s="14"/>
      <c r="L23" s="14"/>
      <c r="M23" s="16"/>
      <c r="N23" s="14"/>
      <c r="O23" s="14"/>
      <c r="P23" s="14"/>
      <c r="Q23" s="16"/>
      <c r="R23" s="17"/>
      <c r="S23" s="18"/>
    </row>
    <row r="24" spans="1:19" ht="29">
      <c r="A24" s="14">
        <v>2021</v>
      </c>
      <c r="B24" s="14" t="s">
        <v>47</v>
      </c>
      <c r="C24" s="14" t="s">
        <v>50</v>
      </c>
      <c r="D24" s="24" t="s">
        <v>76</v>
      </c>
      <c r="E24" s="14"/>
      <c r="F24" s="14"/>
      <c r="G24" s="14"/>
      <c r="H24" s="14"/>
      <c r="I24" s="16"/>
      <c r="J24" s="14"/>
      <c r="K24" s="14"/>
      <c r="L24" s="14"/>
      <c r="M24" s="16"/>
      <c r="N24" s="14"/>
      <c r="O24" s="14"/>
      <c r="P24" s="14"/>
      <c r="Q24" s="16"/>
      <c r="R24" s="17"/>
      <c r="S24" s="18"/>
    </row>
    <row r="25" spans="1:19" s="23" customFormat="1">
      <c r="A25" s="19">
        <v>2021</v>
      </c>
      <c r="B25" s="19" t="s">
        <v>52</v>
      </c>
      <c r="C25" s="19" t="s">
        <v>52</v>
      </c>
      <c r="D25" s="14" t="s">
        <v>77</v>
      </c>
      <c r="E25" s="22"/>
      <c r="F25" s="22"/>
      <c r="G25" s="22"/>
      <c r="H25" s="22"/>
      <c r="I25" s="16"/>
      <c r="J25" s="22"/>
      <c r="K25" s="22"/>
      <c r="L25" s="22"/>
      <c r="M25" s="16"/>
      <c r="N25" s="22"/>
      <c r="O25" s="22"/>
      <c r="P25" s="22"/>
      <c r="Q25" s="16"/>
      <c r="R25" s="17"/>
      <c r="S25" s="18"/>
    </row>
    <row r="26" spans="1:19">
      <c r="A26" s="14">
        <v>2021</v>
      </c>
      <c r="B26" s="14" t="s">
        <v>54</v>
      </c>
      <c r="C26" s="14" t="s">
        <v>55</v>
      </c>
      <c r="D26" s="14" t="s">
        <v>78</v>
      </c>
      <c r="E26" s="14"/>
      <c r="F26" s="14"/>
      <c r="G26" s="14"/>
      <c r="H26" s="14"/>
      <c r="I26" s="16"/>
      <c r="J26" s="14"/>
      <c r="K26" s="14"/>
      <c r="L26" s="14"/>
      <c r="M26" s="16"/>
      <c r="N26" s="14"/>
      <c r="O26" s="14"/>
      <c r="P26" s="14"/>
      <c r="Q26" s="16"/>
      <c r="R26" s="17"/>
      <c r="S26" s="18"/>
    </row>
    <row r="27" spans="1:19" s="28" customFormat="1">
      <c r="A27" s="20">
        <v>2021</v>
      </c>
      <c r="B27" s="20" t="s">
        <v>54</v>
      </c>
      <c r="C27" s="20" t="s">
        <v>57</v>
      </c>
      <c r="D27" s="20" t="s">
        <v>79</v>
      </c>
      <c r="E27" s="20"/>
      <c r="F27" s="20"/>
      <c r="G27" s="20"/>
      <c r="H27" s="20"/>
      <c r="I27" s="25"/>
      <c r="J27" s="20"/>
      <c r="K27" s="20"/>
      <c r="L27" s="20"/>
      <c r="M27" s="25"/>
      <c r="N27" s="20"/>
      <c r="O27" s="20"/>
      <c r="P27" s="20"/>
      <c r="Q27" s="25"/>
      <c r="R27" s="26"/>
      <c r="S27" s="27"/>
    </row>
    <row r="28" spans="1:19">
      <c r="A28" s="14">
        <v>2021</v>
      </c>
      <c r="B28" s="14" t="s">
        <v>54</v>
      </c>
      <c r="C28" s="14" t="s">
        <v>59</v>
      </c>
      <c r="D28" s="14" t="s">
        <v>80</v>
      </c>
      <c r="E28" s="14"/>
      <c r="F28" s="14"/>
      <c r="G28" s="14"/>
      <c r="H28" s="14"/>
      <c r="I28" s="16"/>
      <c r="J28" s="14"/>
      <c r="K28" s="14"/>
      <c r="L28" s="14"/>
      <c r="M28" s="16"/>
      <c r="N28" s="14"/>
      <c r="O28" s="14"/>
      <c r="P28" s="14"/>
      <c r="Q28" s="16"/>
      <c r="R28" s="17"/>
      <c r="S28" s="18"/>
    </row>
    <row r="29" spans="1:19" s="28" customFormat="1">
      <c r="A29" s="20">
        <v>2021</v>
      </c>
      <c r="B29" s="20" t="s">
        <v>54</v>
      </c>
      <c r="C29" s="20" t="s">
        <v>61</v>
      </c>
      <c r="D29" s="20" t="s">
        <v>81</v>
      </c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0"/>
      <c r="R29" s="17"/>
      <c r="S29" s="18"/>
    </row>
    <row r="30" spans="1:19">
      <c r="A30" s="14">
        <v>2021</v>
      </c>
      <c r="B30" s="14" t="s">
        <v>54</v>
      </c>
      <c r="C30" s="14" t="s">
        <v>63</v>
      </c>
      <c r="D30" s="14" t="s">
        <v>82</v>
      </c>
      <c r="E30" s="14"/>
      <c r="F30" s="14"/>
      <c r="G30" s="14"/>
      <c r="H30" s="14"/>
      <c r="I30" s="16"/>
      <c r="J30" s="14"/>
      <c r="K30" s="14"/>
      <c r="L30" s="14"/>
      <c r="M30" s="16"/>
      <c r="N30" s="14"/>
      <c r="O30" s="14"/>
      <c r="P30" s="14"/>
      <c r="Q30" s="16"/>
      <c r="R30" s="17"/>
      <c r="S30" s="18"/>
    </row>
    <row r="31" spans="1:19">
      <c r="A31" s="14">
        <v>2021</v>
      </c>
      <c r="B31" s="14" t="s">
        <v>54</v>
      </c>
      <c r="C31" s="14" t="s">
        <v>65</v>
      </c>
      <c r="D31" s="14" t="s">
        <v>83</v>
      </c>
      <c r="E31" s="14"/>
      <c r="F31" s="14"/>
      <c r="G31" s="14"/>
      <c r="H31" s="14"/>
      <c r="I31" s="16"/>
      <c r="J31" s="14"/>
      <c r="K31" s="14"/>
      <c r="L31" s="14"/>
      <c r="M31" s="16"/>
      <c r="N31" s="14"/>
      <c r="O31" s="14"/>
      <c r="P31" s="14"/>
      <c r="Q31" s="16"/>
      <c r="R31" s="17"/>
      <c r="S31" s="18"/>
    </row>
    <row r="32" spans="1:19">
      <c r="A32" s="14">
        <v>2021</v>
      </c>
      <c r="B32" s="14" t="s">
        <v>54</v>
      </c>
      <c r="C32" s="14" t="s">
        <v>67</v>
      </c>
      <c r="D32" s="14" t="s">
        <v>84</v>
      </c>
      <c r="E32" s="14"/>
      <c r="F32" s="14"/>
      <c r="G32" s="14"/>
      <c r="H32" s="14"/>
      <c r="I32" s="16"/>
      <c r="J32" s="14"/>
      <c r="K32" s="14"/>
      <c r="L32" s="14"/>
      <c r="M32" s="16"/>
      <c r="N32" s="14"/>
      <c r="O32" s="14"/>
      <c r="P32" s="14"/>
      <c r="Q32" s="16"/>
      <c r="R32" s="17"/>
      <c r="S32" s="18"/>
    </row>
    <row r="33" spans="1:19">
      <c r="A33" s="14">
        <v>2021</v>
      </c>
      <c r="B33" s="14" t="s">
        <v>54</v>
      </c>
      <c r="C33" s="14" t="s">
        <v>85</v>
      </c>
      <c r="D33" s="14" t="s">
        <v>86</v>
      </c>
      <c r="E33" s="14"/>
      <c r="F33" s="14"/>
      <c r="G33" s="14"/>
      <c r="H33" s="14"/>
      <c r="I33" s="16"/>
      <c r="J33" s="14"/>
      <c r="K33" s="14"/>
      <c r="L33" s="14"/>
      <c r="M33" s="16"/>
      <c r="N33" s="14"/>
      <c r="O33" s="14"/>
      <c r="P33" s="14"/>
      <c r="Q33" s="16"/>
      <c r="R33" s="17"/>
      <c r="S33" s="18"/>
    </row>
    <row r="34" spans="1:19">
      <c r="A34" s="14">
        <v>2022</v>
      </c>
      <c r="B34" s="14" t="s">
        <v>38</v>
      </c>
      <c r="C34" s="14" t="s">
        <v>39</v>
      </c>
      <c r="D34" s="14" t="s">
        <v>87</v>
      </c>
      <c r="E34" s="14"/>
      <c r="F34" s="14"/>
      <c r="G34" s="14"/>
      <c r="H34" s="14"/>
      <c r="I34" s="16"/>
      <c r="J34" s="14"/>
      <c r="K34" s="14"/>
      <c r="L34" s="14"/>
      <c r="M34" s="16"/>
      <c r="N34" s="14"/>
      <c r="O34" s="14"/>
      <c r="P34" s="14"/>
      <c r="Q34" s="16"/>
      <c r="R34" s="17"/>
      <c r="S34" s="18"/>
    </row>
    <row r="35" spans="1:19">
      <c r="A35" s="14">
        <v>2022</v>
      </c>
      <c r="B35" s="14" t="s">
        <v>38</v>
      </c>
      <c r="C35" s="14" t="s">
        <v>41</v>
      </c>
      <c r="D35" s="14" t="s">
        <v>88</v>
      </c>
      <c r="E35" s="14"/>
      <c r="F35" s="14"/>
      <c r="G35" s="14"/>
      <c r="H35" s="14"/>
      <c r="I35" s="16"/>
      <c r="J35" s="14"/>
      <c r="K35" s="14"/>
      <c r="L35" s="14"/>
      <c r="M35" s="16"/>
      <c r="N35" s="14"/>
      <c r="O35" s="14"/>
      <c r="P35" s="14"/>
      <c r="Q35" s="16"/>
      <c r="R35" s="17"/>
      <c r="S35" s="18"/>
    </row>
    <row r="36" spans="1:19">
      <c r="A36" s="14">
        <v>2022</v>
      </c>
      <c r="B36" s="14" t="s">
        <v>42</v>
      </c>
      <c r="C36" s="14" t="s">
        <v>43</v>
      </c>
      <c r="D36" s="20" t="s">
        <v>89</v>
      </c>
      <c r="E36" s="14"/>
      <c r="F36" s="14"/>
      <c r="G36" s="14"/>
      <c r="H36" s="14"/>
      <c r="I36" s="16"/>
      <c r="J36" s="14"/>
      <c r="K36" s="14"/>
      <c r="L36" s="14"/>
      <c r="M36" s="16"/>
      <c r="N36" s="14"/>
      <c r="O36" s="14"/>
      <c r="P36" s="14"/>
      <c r="Q36" s="16"/>
      <c r="R36" s="17"/>
      <c r="S36" s="18"/>
    </row>
    <row r="37" spans="1:19">
      <c r="A37" s="14">
        <v>2022</v>
      </c>
      <c r="B37" s="14" t="s">
        <v>42</v>
      </c>
      <c r="C37" s="14" t="s">
        <v>45</v>
      </c>
      <c r="D37" s="14" t="s">
        <v>90</v>
      </c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7"/>
      <c r="S37" s="18"/>
    </row>
    <row r="38" spans="1:19">
      <c r="A38" s="14">
        <v>2022</v>
      </c>
      <c r="B38" s="14" t="s">
        <v>47</v>
      </c>
      <c r="C38" s="14" t="s">
        <v>48</v>
      </c>
      <c r="D38" s="14" t="s">
        <v>91</v>
      </c>
      <c r="E38" s="14"/>
      <c r="F38" s="14"/>
      <c r="G38" s="14"/>
      <c r="H38" s="14"/>
      <c r="I38" s="16"/>
      <c r="J38" s="14"/>
      <c r="K38" s="14"/>
      <c r="L38" s="14"/>
      <c r="M38" s="16"/>
      <c r="N38" s="14"/>
      <c r="O38" s="14"/>
      <c r="P38" s="14"/>
      <c r="Q38" s="16"/>
      <c r="R38" s="17"/>
      <c r="S38" s="18"/>
    </row>
    <row r="39" spans="1:19" ht="29">
      <c r="A39" s="14">
        <v>2022</v>
      </c>
      <c r="B39" s="14" t="s">
        <v>47</v>
      </c>
      <c r="C39" s="14" t="s">
        <v>50</v>
      </c>
      <c r="D39" s="24" t="s">
        <v>92</v>
      </c>
      <c r="E39" s="14"/>
      <c r="F39" s="14"/>
      <c r="G39" s="14"/>
      <c r="H39" s="14"/>
      <c r="I39" s="16"/>
      <c r="J39" s="14"/>
      <c r="K39" s="14"/>
      <c r="L39" s="14"/>
      <c r="M39" s="16"/>
      <c r="N39" s="14"/>
      <c r="O39" s="14"/>
      <c r="P39" s="14"/>
      <c r="Q39" s="16"/>
      <c r="R39" s="17"/>
      <c r="S39" s="18"/>
    </row>
    <row r="40" spans="1:19" s="23" customFormat="1">
      <c r="A40" s="19">
        <v>2022</v>
      </c>
      <c r="B40" s="19" t="s">
        <v>52</v>
      </c>
      <c r="C40" s="19" t="s">
        <v>52</v>
      </c>
      <c r="D40" s="14" t="s">
        <v>93</v>
      </c>
      <c r="E40" s="22"/>
      <c r="F40" s="22"/>
      <c r="G40" s="22"/>
      <c r="H40" s="22"/>
      <c r="I40" s="16"/>
      <c r="J40" s="22"/>
      <c r="K40" s="22"/>
      <c r="L40" s="22"/>
      <c r="M40" s="16"/>
      <c r="N40" s="22"/>
      <c r="O40" s="22"/>
      <c r="P40" s="22"/>
      <c r="Q40" s="16"/>
      <c r="R40" s="17"/>
      <c r="S40" s="18"/>
    </row>
    <row r="41" spans="1:19">
      <c r="A41" s="14">
        <v>2022</v>
      </c>
      <c r="B41" s="14" t="s">
        <v>54</v>
      </c>
      <c r="C41" s="14" t="s">
        <v>55</v>
      </c>
      <c r="D41" s="14" t="s">
        <v>94</v>
      </c>
      <c r="E41" s="14"/>
      <c r="F41" s="14"/>
      <c r="G41" s="14"/>
      <c r="H41" s="14"/>
      <c r="I41" s="16"/>
      <c r="J41" s="14"/>
      <c r="K41" s="14"/>
      <c r="L41" s="14"/>
      <c r="M41" s="16"/>
      <c r="N41" s="14"/>
      <c r="O41" s="14"/>
      <c r="P41" s="14"/>
      <c r="Q41" s="16"/>
      <c r="R41" s="17"/>
      <c r="S41" s="18"/>
    </row>
    <row r="42" spans="1:19" s="28" customFormat="1">
      <c r="A42" s="20">
        <v>2022</v>
      </c>
      <c r="B42" s="20" t="s">
        <v>54</v>
      </c>
      <c r="C42" s="20" t="s">
        <v>57</v>
      </c>
      <c r="D42" s="20" t="s">
        <v>95</v>
      </c>
      <c r="E42" s="20"/>
      <c r="F42" s="20"/>
      <c r="G42" s="20"/>
      <c r="H42" s="20"/>
      <c r="I42" s="25"/>
      <c r="J42" s="20"/>
      <c r="K42" s="20"/>
      <c r="L42" s="20"/>
      <c r="M42" s="25"/>
      <c r="N42" s="20"/>
      <c r="O42" s="20"/>
      <c r="P42" s="20"/>
      <c r="Q42" s="25"/>
      <c r="R42" s="26"/>
      <c r="S42" s="27"/>
    </row>
    <row r="43" spans="1:19">
      <c r="A43" s="14">
        <v>2022</v>
      </c>
      <c r="B43" s="14" t="s">
        <v>54</v>
      </c>
      <c r="C43" s="14" t="s">
        <v>59</v>
      </c>
      <c r="D43" s="14" t="s">
        <v>96</v>
      </c>
      <c r="E43" s="14"/>
      <c r="F43" s="14"/>
      <c r="G43" s="14"/>
      <c r="H43" s="14"/>
      <c r="I43" s="16"/>
      <c r="J43" s="14"/>
      <c r="K43" s="14"/>
      <c r="L43" s="14"/>
      <c r="M43" s="16"/>
      <c r="N43" s="14"/>
      <c r="O43" s="14"/>
      <c r="P43" s="14"/>
      <c r="Q43" s="16"/>
      <c r="R43" s="17"/>
      <c r="S43" s="18"/>
    </row>
    <row r="44" spans="1:19" s="28" customFormat="1">
      <c r="A44" s="20">
        <v>2022</v>
      </c>
      <c r="B44" s="20" t="s">
        <v>54</v>
      </c>
      <c r="C44" s="20" t="s">
        <v>61</v>
      </c>
      <c r="D44" s="20" t="s">
        <v>97</v>
      </c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17"/>
      <c r="S44" s="18"/>
    </row>
    <row r="45" spans="1:19">
      <c r="A45" s="14">
        <v>2022</v>
      </c>
      <c r="B45" s="14" t="s">
        <v>54</v>
      </c>
      <c r="C45" s="14" t="s">
        <v>63</v>
      </c>
      <c r="D45" s="14" t="s">
        <v>98</v>
      </c>
      <c r="E45" s="14"/>
      <c r="F45" s="14"/>
      <c r="G45" s="14"/>
      <c r="H45" s="14"/>
      <c r="I45" s="16"/>
      <c r="J45" s="14"/>
      <c r="K45" s="14"/>
      <c r="L45" s="14"/>
      <c r="M45" s="16"/>
      <c r="N45" s="14"/>
      <c r="O45" s="14"/>
      <c r="P45" s="14"/>
      <c r="Q45" s="16"/>
      <c r="R45" s="17"/>
      <c r="S45" s="18"/>
    </row>
    <row r="46" spans="1:19">
      <c r="A46" s="14">
        <v>2022</v>
      </c>
      <c r="B46" s="14" t="s">
        <v>54</v>
      </c>
      <c r="C46" s="14" t="s">
        <v>65</v>
      </c>
      <c r="D46" s="14" t="s">
        <v>99</v>
      </c>
      <c r="E46" s="14"/>
      <c r="F46" s="14"/>
      <c r="G46" s="14"/>
      <c r="H46" s="14"/>
      <c r="I46" s="16"/>
      <c r="J46" s="14"/>
      <c r="K46" s="14"/>
      <c r="L46" s="14"/>
      <c r="M46" s="16"/>
      <c r="N46" s="14"/>
      <c r="O46" s="14"/>
      <c r="P46" s="14"/>
      <c r="Q46" s="16"/>
      <c r="R46" s="17"/>
      <c r="S46" s="18"/>
    </row>
    <row r="47" spans="1:19">
      <c r="A47" s="14">
        <v>2022</v>
      </c>
      <c r="B47" s="14" t="s">
        <v>54</v>
      </c>
      <c r="C47" s="14" t="s">
        <v>67</v>
      </c>
      <c r="D47" s="14" t="s">
        <v>100</v>
      </c>
      <c r="E47" s="14"/>
      <c r="F47" s="14"/>
      <c r="G47" s="14"/>
      <c r="H47" s="14"/>
      <c r="I47" s="16"/>
      <c r="J47" s="14"/>
      <c r="K47" s="14"/>
      <c r="L47" s="14"/>
      <c r="M47" s="16"/>
      <c r="N47" s="14"/>
      <c r="O47" s="14"/>
      <c r="P47" s="14"/>
      <c r="Q47" s="16"/>
      <c r="R47" s="17"/>
      <c r="S47" s="18"/>
    </row>
    <row r="48" spans="1:19">
      <c r="A48" s="14">
        <v>2022</v>
      </c>
      <c r="B48" s="14" t="s">
        <v>54</v>
      </c>
      <c r="C48" s="14" t="s">
        <v>85</v>
      </c>
      <c r="D48" s="14" t="s">
        <v>101</v>
      </c>
      <c r="E48" s="14"/>
      <c r="F48" s="14"/>
      <c r="G48" s="14"/>
      <c r="H48" s="14"/>
      <c r="I48" s="16"/>
      <c r="J48" s="14"/>
      <c r="K48" s="14"/>
      <c r="L48" s="14"/>
      <c r="M48" s="16"/>
      <c r="N48" s="14"/>
      <c r="O48" s="14"/>
      <c r="P48" s="14"/>
      <c r="Q48" s="16"/>
      <c r="R48" s="17"/>
      <c r="S48" s="18"/>
    </row>
    <row r="49" spans="1:19">
      <c r="A49" s="14">
        <v>2023</v>
      </c>
      <c r="B49" s="14" t="s">
        <v>38</v>
      </c>
      <c r="C49" s="14" t="s">
        <v>39</v>
      </c>
      <c r="D49" s="14" t="s">
        <v>113</v>
      </c>
      <c r="E49" s="14"/>
      <c r="F49" s="14"/>
      <c r="G49" s="14"/>
      <c r="H49" s="14"/>
      <c r="I49" s="16"/>
      <c r="J49" s="14"/>
      <c r="K49" s="14"/>
      <c r="L49" s="14"/>
      <c r="M49" s="16"/>
      <c r="N49" s="14"/>
      <c r="O49" s="14"/>
      <c r="P49" s="14"/>
      <c r="Q49" s="16"/>
      <c r="R49" s="17"/>
      <c r="S49" s="18"/>
    </row>
    <row r="50" spans="1:19">
      <c r="A50" s="14">
        <v>2023</v>
      </c>
      <c r="B50" s="14" t="s">
        <v>38</v>
      </c>
      <c r="C50" s="14" t="s">
        <v>41</v>
      </c>
      <c r="D50" s="14" t="s">
        <v>114</v>
      </c>
      <c r="E50" s="14"/>
      <c r="F50" s="14"/>
      <c r="G50" s="14"/>
      <c r="H50" s="14"/>
      <c r="I50" s="16"/>
      <c r="J50" s="14"/>
      <c r="K50" s="14"/>
      <c r="L50" s="14"/>
      <c r="M50" s="16"/>
      <c r="N50" s="14"/>
      <c r="O50" s="14"/>
      <c r="P50" s="14"/>
      <c r="Q50" s="16"/>
      <c r="R50" s="17"/>
      <c r="S50" s="18"/>
    </row>
    <row r="51" spans="1:19">
      <c r="A51" s="14">
        <v>2023</v>
      </c>
      <c r="B51" s="14" t="s">
        <v>42</v>
      </c>
      <c r="C51" s="14" t="s">
        <v>43</v>
      </c>
      <c r="D51" s="20" t="s">
        <v>116</v>
      </c>
      <c r="E51" s="14"/>
      <c r="F51" s="14"/>
      <c r="G51" s="14"/>
      <c r="H51" s="14"/>
      <c r="I51" s="16"/>
      <c r="J51" s="14"/>
      <c r="K51" s="14"/>
      <c r="L51" s="14"/>
      <c r="M51" s="16"/>
      <c r="N51" s="14"/>
      <c r="O51" s="14"/>
      <c r="P51" s="14"/>
      <c r="Q51" s="16"/>
      <c r="R51" s="17"/>
      <c r="S51" s="18"/>
    </row>
    <row r="52" spans="1:19">
      <c r="A52" s="14">
        <v>2023</v>
      </c>
      <c r="B52" s="14" t="s">
        <v>42</v>
      </c>
      <c r="C52" s="14" t="s">
        <v>45</v>
      </c>
      <c r="D52" s="14" t="s">
        <v>115</v>
      </c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7"/>
      <c r="S52" s="18"/>
    </row>
    <row r="53" spans="1:19">
      <c r="A53" s="14">
        <v>2023</v>
      </c>
      <c r="B53" s="14" t="s">
        <v>47</v>
      </c>
      <c r="C53" s="14" t="s">
        <v>48</v>
      </c>
      <c r="D53" s="14" t="s">
        <v>117</v>
      </c>
      <c r="E53" s="14"/>
      <c r="F53" s="14"/>
      <c r="G53" s="14"/>
      <c r="H53" s="14"/>
      <c r="I53" s="16"/>
      <c r="J53" s="14"/>
      <c r="K53" s="14"/>
      <c r="L53" s="14"/>
      <c r="M53" s="16"/>
      <c r="N53" s="14"/>
      <c r="O53" s="14"/>
      <c r="P53" s="14"/>
      <c r="Q53" s="16"/>
      <c r="R53" s="17"/>
      <c r="S53" s="18"/>
    </row>
    <row r="54" spans="1:19" ht="29">
      <c r="A54" s="14">
        <v>2023</v>
      </c>
      <c r="B54" s="14" t="s">
        <v>47</v>
      </c>
      <c r="C54" s="14" t="s">
        <v>50</v>
      </c>
      <c r="D54" s="24" t="s">
        <v>118</v>
      </c>
      <c r="E54" s="14"/>
      <c r="F54" s="14"/>
      <c r="G54" s="14"/>
      <c r="H54" s="14"/>
      <c r="I54" s="16"/>
      <c r="J54" s="14"/>
      <c r="K54" s="14"/>
      <c r="L54" s="14"/>
      <c r="M54" s="16"/>
      <c r="N54" s="14"/>
      <c r="O54" s="14"/>
      <c r="P54" s="14"/>
      <c r="Q54" s="16"/>
      <c r="R54" s="17"/>
      <c r="S54" s="18"/>
    </row>
    <row r="55" spans="1:19" s="23" customFormat="1">
      <c r="A55" s="14">
        <v>2023</v>
      </c>
      <c r="B55" s="19" t="s">
        <v>52</v>
      </c>
      <c r="C55" s="19" t="s">
        <v>52</v>
      </c>
      <c r="D55" s="14" t="s">
        <v>119</v>
      </c>
      <c r="E55" s="22"/>
      <c r="F55" s="22"/>
      <c r="G55" s="22"/>
      <c r="H55" s="22"/>
      <c r="I55" s="16"/>
      <c r="J55" s="22"/>
      <c r="K55" s="22"/>
      <c r="L55" s="22"/>
      <c r="M55" s="16"/>
      <c r="N55" s="22"/>
      <c r="O55" s="22"/>
      <c r="P55" s="22"/>
      <c r="Q55" s="16"/>
      <c r="R55" s="17"/>
      <c r="S55" s="18"/>
    </row>
    <row r="56" spans="1:19">
      <c r="A56" s="14">
        <v>2023</v>
      </c>
      <c r="B56" s="14" t="s">
        <v>54</v>
      </c>
      <c r="C56" s="14" t="s">
        <v>55</v>
      </c>
      <c r="D56" s="14" t="s">
        <v>120</v>
      </c>
      <c r="E56" s="14"/>
      <c r="F56" s="14"/>
      <c r="G56" s="14"/>
      <c r="H56" s="14"/>
      <c r="I56" s="16"/>
      <c r="J56" s="14"/>
      <c r="K56" s="14"/>
      <c r="L56" s="14"/>
      <c r="M56" s="16"/>
      <c r="N56" s="14"/>
      <c r="O56" s="14"/>
      <c r="P56" s="14"/>
      <c r="Q56" s="16"/>
      <c r="R56" s="17"/>
      <c r="S56" s="18"/>
    </row>
    <row r="57" spans="1:19" s="28" customFormat="1">
      <c r="A57" s="14">
        <v>2023</v>
      </c>
      <c r="B57" s="20" t="s">
        <v>54</v>
      </c>
      <c r="C57" s="20" t="s">
        <v>57</v>
      </c>
      <c r="D57" s="20" t="s">
        <v>121</v>
      </c>
      <c r="E57" s="20"/>
      <c r="F57" s="20"/>
      <c r="G57" s="20"/>
      <c r="H57" s="20"/>
      <c r="I57" s="25"/>
      <c r="J57" s="20"/>
      <c r="K57" s="20"/>
      <c r="L57" s="20"/>
      <c r="M57" s="25"/>
      <c r="N57" s="20"/>
      <c r="O57" s="20"/>
      <c r="P57" s="20"/>
      <c r="Q57" s="25"/>
      <c r="R57" s="26"/>
      <c r="S57" s="27"/>
    </row>
    <row r="58" spans="1:19">
      <c r="A58" s="14">
        <v>2023</v>
      </c>
      <c r="B58" s="14" t="s">
        <v>54</v>
      </c>
      <c r="C58" s="14" t="s">
        <v>59</v>
      </c>
      <c r="D58" s="14" t="s">
        <v>122</v>
      </c>
      <c r="E58" s="14"/>
      <c r="F58" s="14"/>
      <c r="G58" s="14"/>
      <c r="H58" s="14"/>
      <c r="I58" s="16"/>
      <c r="J58" s="14"/>
      <c r="K58" s="14"/>
      <c r="L58" s="14"/>
      <c r="M58" s="16"/>
      <c r="N58" s="14"/>
      <c r="O58" s="14"/>
      <c r="P58" s="14"/>
      <c r="Q58" s="16"/>
      <c r="R58" s="17"/>
      <c r="S58" s="18"/>
    </row>
    <row r="59" spans="1:19" s="28" customFormat="1">
      <c r="A59" s="14">
        <v>2023</v>
      </c>
      <c r="B59" s="20" t="s">
        <v>54</v>
      </c>
      <c r="C59" s="20" t="s">
        <v>61</v>
      </c>
      <c r="D59" s="20" t="s">
        <v>123</v>
      </c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17"/>
      <c r="S59" s="18"/>
    </row>
    <row r="60" spans="1:19">
      <c r="A60" s="14">
        <v>2023</v>
      </c>
      <c r="B60" s="14" t="s">
        <v>54</v>
      </c>
      <c r="C60" s="14" t="s">
        <v>63</v>
      </c>
      <c r="D60" s="14" t="s">
        <v>124</v>
      </c>
      <c r="E60" s="14"/>
      <c r="F60" s="14"/>
      <c r="G60" s="14"/>
      <c r="H60" s="14"/>
      <c r="I60" s="16"/>
      <c r="J60" s="14"/>
      <c r="K60" s="14"/>
      <c r="L60" s="14"/>
      <c r="M60" s="16"/>
      <c r="N60" s="14"/>
      <c r="O60" s="14"/>
      <c r="P60" s="14"/>
      <c r="Q60" s="16"/>
      <c r="R60" s="17"/>
      <c r="S60" s="18"/>
    </row>
    <row r="61" spans="1:19">
      <c r="A61" s="14">
        <v>2023</v>
      </c>
      <c r="B61" s="14" t="s">
        <v>54</v>
      </c>
      <c r="C61" s="14" t="s">
        <v>65</v>
      </c>
      <c r="D61" s="14" t="s">
        <v>125</v>
      </c>
      <c r="E61" s="14"/>
      <c r="F61" s="14"/>
      <c r="G61" s="14"/>
      <c r="H61" s="14"/>
      <c r="I61" s="16"/>
      <c r="J61" s="14"/>
      <c r="K61" s="14"/>
      <c r="L61" s="14"/>
      <c r="M61" s="16"/>
      <c r="N61" s="14"/>
      <c r="O61" s="14"/>
      <c r="P61" s="14"/>
      <c r="Q61" s="16"/>
      <c r="R61" s="17"/>
      <c r="S61" s="18"/>
    </row>
    <row r="62" spans="1:19">
      <c r="A62" s="14">
        <v>2023</v>
      </c>
      <c r="B62" s="14" t="s">
        <v>54</v>
      </c>
      <c r="C62" s="14" t="s">
        <v>67</v>
      </c>
      <c r="D62" s="14" t="s">
        <v>126</v>
      </c>
      <c r="E62" s="14"/>
      <c r="F62" s="14"/>
      <c r="G62" s="14"/>
      <c r="H62" s="14"/>
      <c r="I62" s="16"/>
      <c r="J62" s="14"/>
      <c r="K62" s="14"/>
      <c r="L62" s="14"/>
      <c r="M62" s="16"/>
      <c r="N62" s="14"/>
      <c r="O62" s="14"/>
      <c r="P62" s="14"/>
      <c r="Q62" s="16"/>
      <c r="R62" s="17"/>
      <c r="S62" s="18"/>
    </row>
    <row r="63" spans="1:19">
      <c r="A63" s="14">
        <v>2023</v>
      </c>
      <c r="B63" s="14" t="s">
        <v>54</v>
      </c>
      <c r="C63" s="14" t="s">
        <v>85</v>
      </c>
      <c r="D63" s="14" t="s">
        <v>127</v>
      </c>
      <c r="E63" s="14"/>
      <c r="F63" s="14"/>
      <c r="G63" s="14"/>
      <c r="H63" s="14"/>
      <c r="I63" s="16"/>
      <c r="J63" s="14"/>
      <c r="K63" s="14"/>
      <c r="L63" s="14"/>
      <c r="M63" s="16"/>
      <c r="N63" s="14"/>
      <c r="O63" s="14"/>
      <c r="P63" s="14"/>
      <c r="Q63" s="16"/>
      <c r="R63" s="17"/>
      <c r="S63" s="18"/>
    </row>
    <row r="64" spans="1:19">
      <c r="B64" s="34" t="s">
        <v>102</v>
      </c>
      <c r="C64" s="34"/>
      <c r="D64" s="10"/>
      <c r="I64" s="30"/>
    </row>
    <row r="65" spans="2:4">
      <c r="B65" s="34" t="s">
        <v>103</v>
      </c>
      <c r="C65" s="34"/>
      <c r="D65" s="10"/>
    </row>
    <row r="66" spans="2:4">
      <c r="B66" s="34" t="s">
        <v>104</v>
      </c>
      <c r="C66" s="34"/>
      <c r="D66" s="10"/>
    </row>
  </sheetData>
  <mergeCells count="7">
    <mergeCell ref="B66:C66"/>
    <mergeCell ref="A1:Q1"/>
    <mergeCell ref="F2:I2"/>
    <mergeCell ref="J2:M2"/>
    <mergeCell ref="N2:Q2"/>
    <mergeCell ref="B64:C64"/>
    <mergeCell ref="B65:C65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Mastersheet</vt:lpstr>
      <vt:lpstr>Sheet1</vt:lpstr>
      <vt:lpstr>Macro Sheet</vt:lpstr>
      <vt:lpstr>Holidays</vt:lpstr>
      <vt:lpstr>Scorecard Template</vt:lpstr>
      <vt:lpstr>holidaylist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Uppalapati Mounica</dc:creator>
  <cp:keywords/>
  <dc:description/>
  <cp:lastModifiedBy>Barbara S Mawkhlieng</cp:lastModifiedBy>
  <cp:revision/>
  <dcterms:created xsi:type="dcterms:W3CDTF">2015-06-05T18:17:20Z</dcterms:created>
  <dcterms:modified xsi:type="dcterms:W3CDTF">2023-03-01T16:24:34Z</dcterms:modified>
  <cp:category/>
  <cp:contentStatus/>
</cp:coreProperties>
</file>